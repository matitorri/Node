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yyyy-mm-dd h:mm:ss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7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script</t>
        </is>
      </c>
      <c r="B2" s="2" t="inlineStr">
        <is>
          <t>Node - v0.18.0</t>
        </is>
      </c>
    </row>
    <row r="3">
      <c r="A3" t="inlineStr">
        <is>
          <t>capital</t>
        </is>
      </c>
      <c r="B3" s="3" t="n">
        <v>50000</v>
      </c>
    </row>
    <row r="4">
      <c r="A4" t="inlineStr">
        <is>
          <t>windows</t>
        </is>
      </c>
      <c r="B4" s="2" t="n">
        <v>10</v>
      </c>
    </row>
    <row r="5">
      <c r="A5" t="inlineStr">
        <is>
          <t>trades</t>
        </is>
      </c>
      <c r="B5" s="2">
        <f>COUNT(Trades!$H$2:$H$17)</f>
        <v/>
      </c>
    </row>
    <row r="6">
      <c r="A6" t="inlineStr">
        <is>
          <t>from</t>
        </is>
      </c>
      <c r="B6" s="4">
        <f>MIN(Trades!$C$2:$C$17)</f>
        <v/>
      </c>
    </row>
    <row r="7">
      <c r="A7" t="inlineStr">
        <is>
          <t>to</t>
        </is>
      </c>
      <c r="B7" s="4">
        <f>MAX(Trades!$E$2:$E$17)</f>
        <v/>
      </c>
    </row>
    <row r="8">
      <c r="A8" t="inlineStr"/>
      <c r="B8" s="2" t="inlineStr"/>
    </row>
    <row r="9">
      <c r="A9" t="inlineStr">
        <is>
          <t>net</t>
        </is>
      </c>
      <c r="B9" s="3">
        <f>SUM(Trades!$H$2:$H$17)</f>
        <v/>
      </c>
    </row>
    <row r="10">
      <c r="A10" t="inlineStr">
        <is>
          <t>net %</t>
        </is>
      </c>
      <c r="B10" s="5">
        <f>$B$9/$B$3</f>
        <v/>
      </c>
    </row>
    <row r="11">
      <c r="A11" t="inlineStr">
        <is>
          <t>gross win</t>
        </is>
      </c>
      <c r="B11" s="3">
        <f>SUMIF(Trades!$H$2:$H$17,"&gt;0")</f>
        <v/>
      </c>
    </row>
    <row r="12">
      <c r="A12" t="inlineStr">
        <is>
          <t>gross loss</t>
        </is>
      </c>
      <c r="B12" s="3">
        <f>-SUMIF(Trades!$H$2:$H$17,"&lt;0")</f>
        <v/>
      </c>
    </row>
    <row r="13">
      <c r="A13" t="inlineStr">
        <is>
          <t>profit factor</t>
        </is>
      </c>
      <c r="B13" s="6">
        <f>IF($B$12=0,"",$B$11/$B$12)</f>
        <v/>
      </c>
    </row>
    <row r="14">
      <c r="A14" t="inlineStr"/>
      <c r="B14" s="2" t="inlineStr"/>
    </row>
    <row r="15">
      <c r="A15" t="inlineStr">
        <is>
          <t>wins</t>
        </is>
      </c>
      <c r="B15" s="2">
        <f>COUNTIF(Trades!$H$2:$H$17,"&gt;0")</f>
        <v/>
      </c>
    </row>
    <row r="16">
      <c r="A16" t="inlineStr">
        <is>
          <t>losses</t>
        </is>
      </c>
      <c r="B16" s="2">
        <f>COUNTIF(Trades!$H$2:$H$17,"&lt;0")</f>
        <v/>
      </c>
    </row>
    <row r="17">
      <c r="A17" t="inlineStr">
        <is>
          <t>win rate</t>
        </is>
      </c>
      <c r="B17" s="7">
        <f>$B$15/$B$5</f>
        <v/>
      </c>
    </row>
    <row r="18">
      <c r="A18" t="inlineStr">
        <is>
          <t>average win</t>
        </is>
      </c>
      <c r="B18" s="3">
        <f>IF($B$15=0,"",$B$11/$B$15)</f>
        <v/>
      </c>
    </row>
    <row r="19">
      <c r="A19" t="inlineStr">
        <is>
          <t>average loss</t>
        </is>
      </c>
      <c r="B19" s="3">
        <f>IF($B$16=0,"",-$B$12/$B$16)</f>
        <v/>
      </c>
    </row>
    <row r="20">
      <c r="A20" t="inlineStr">
        <is>
          <t>expectancy</t>
        </is>
      </c>
      <c r="B20" s="3">
        <f>$B$9/$B$5</f>
        <v/>
      </c>
    </row>
    <row r="21">
      <c r="A21" t="inlineStr">
        <is>
          <t>best</t>
        </is>
      </c>
      <c r="B21" s="3">
        <f>MAX(Trades!$H$2:$H$17)</f>
        <v/>
      </c>
    </row>
    <row r="22">
      <c r="A22" t="inlineStr">
        <is>
          <t>worst</t>
        </is>
      </c>
      <c r="B22" s="3">
        <f>MIN(Trades!$H$2:$H$17)</f>
        <v/>
      </c>
    </row>
    <row r="23">
      <c r="A23" t="inlineStr"/>
      <c r="B23" s="2" t="inlineStr"/>
    </row>
    <row r="24">
      <c r="A24" t="inlineStr">
        <is>
          <t>max drawdown</t>
        </is>
      </c>
      <c r="B24" s="3">
        <f>MAX(Trades!$Q$2:$Q$17)</f>
        <v/>
      </c>
    </row>
    <row r="25">
      <c r="A25" t="inlineStr">
        <is>
          <t>max drawdown %</t>
        </is>
      </c>
      <c r="B25" s="5">
        <f>MAX(Trades!$R$2:$R$17)</f>
        <v/>
      </c>
    </row>
    <row r="26">
      <c r="A26" t="inlineStr">
        <is>
          <t>losing streak</t>
        </is>
      </c>
      <c r="B26" s="2">
        <f>MAX(Trades!$S$2:$S$17)</f>
        <v/>
      </c>
    </row>
    <row r="27">
      <c r="A27" t="inlineStr">
        <is>
          <t>commission</t>
        </is>
      </c>
      <c r="B27" s="3">
        <f>SUM(Trades!$I$2:$I$17)</f>
        <v/>
      </c>
    </row>
    <row r="28">
      <c r="A28" t="inlineStr"/>
      <c r="B28" s="2" t="inlineStr"/>
    </row>
    <row r="29">
      <c r="A29" t="inlineStr">
        <is>
          <t>long trades</t>
        </is>
      </c>
      <c r="B29" s="2">
        <f>COUNTIF(Trades!$B$2:$B$17,"long")</f>
        <v/>
      </c>
    </row>
    <row r="30">
      <c r="A30" t="inlineStr">
        <is>
          <t>long net</t>
        </is>
      </c>
      <c r="B30" s="3">
        <f>SUMIF(Trades!$B$2:$B$17,"long",Trades!$H$2:$H$17)</f>
        <v/>
      </c>
    </row>
    <row r="31">
      <c r="A31" t="inlineStr">
        <is>
          <t>long win rate</t>
        </is>
      </c>
      <c r="B31" s="7">
        <f>IF($B$29=0,"",COUNTIFS(Trades!$B$2:$B$17,"long",Trades!$H$2:$H$17,"&gt;0")/$B$29)</f>
        <v/>
      </c>
    </row>
    <row r="32">
      <c r="A32" t="inlineStr">
        <is>
          <t>short trades</t>
        </is>
      </c>
      <c r="B32" s="2">
        <f>COUNTIF(Trades!$B$2:$B$17,"short")</f>
        <v/>
      </c>
    </row>
    <row r="33">
      <c r="A33" t="inlineStr">
        <is>
          <t>short net</t>
        </is>
      </c>
      <c r="B33" s="3">
        <f>SUMIF(Trades!$B$2:$B$17,"short",Trades!$H$2:$H$17)</f>
        <v/>
      </c>
    </row>
    <row r="34">
      <c r="A34" t="inlineStr">
        <is>
          <t>short win rate</t>
        </is>
      </c>
      <c r="B34" s="7">
        <f>IF($B$32=0,"",COUNTIFS(Trades!$B$2:$B$17,"short",Trades!$H$2:$H$17,"&gt;0")/$B$32)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7" customWidth="1" min="3" max="3"/>
    <col width="12" customWidth="1" min="4" max="4"/>
    <col width="17" customWidth="1" min="5" max="5"/>
    <col width="12" customWidth="1" min="6" max="6"/>
    <col width="6" customWidth="1" min="7" max="7"/>
    <col width="11" customWidth="1" min="8" max="8"/>
    <col width="12" customWidth="1" min="9" max="9"/>
    <col width="11" customWidth="1" min="10" max="10"/>
    <col width="11" customWidth="1" min="11" max="11"/>
    <col width="7" customWidth="1" min="12" max="12"/>
    <col width="46" customWidth="1" min="13" max="13"/>
    <col width="15" customWidth="1" min="14" max="14"/>
    <col width="12" customWidth="1" min="15" max="15"/>
    <col width="12" customWidth="1" min="16" max="16"/>
    <col width="11" customWidth="1" min="17" max="17"/>
    <col width="11" customWidth="1" min="18" max="18"/>
    <col width="14" customWidth="1" min="19" max="19"/>
  </cols>
  <sheetData>
    <row r="1">
      <c r="A1" s="1" t="inlineStr">
        <is>
          <t>n</t>
        </is>
      </c>
      <c r="B1" s="1" t="inlineStr">
        <is>
          <t>side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exit time</t>
        </is>
      </c>
      <c r="F1" s="1" t="inlineStr">
        <is>
          <t>exit price</t>
        </is>
      </c>
      <c r="G1" s="1" t="inlineStr">
        <is>
          <t>qty</t>
        </is>
      </c>
      <c r="H1" s="1" t="inlineStr">
        <is>
          <t>net pnl</t>
        </is>
      </c>
      <c r="I1" s="1" t="inlineStr">
        <is>
          <t>commission</t>
        </is>
      </c>
      <c r="J1" s="1" t="inlineStr">
        <is>
          <t>favorable</t>
        </is>
      </c>
      <c r="K1" s="1" t="inlineStr">
        <is>
          <t>adverse</t>
        </is>
      </c>
      <c r="L1" s="1" t="inlineStr">
        <is>
          <t>bars</t>
        </is>
      </c>
      <c r="M1" s="1" t="inlineStr">
        <is>
          <t>source</t>
        </is>
      </c>
      <c r="N1" s="1" t="inlineStr">
        <is>
          <t>cumulative pnl</t>
        </is>
      </c>
      <c r="O1" s="1" t="inlineStr">
        <is>
          <t>equity</t>
        </is>
      </c>
      <c r="P1" s="1" t="inlineStr">
        <is>
          <t>peak</t>
        </is>
      </c>
      <c r="Q1" s="1" t="inlineStr">
        <is>
          <t>drawdown</t>
        </is>
      </c>
      <c r="R1" s="1" t="inlineStr">
        <is>
          <t>drawdown %</t>
        </is>
      </c>
      <c r="S1" s="1" t="inlineStr">
        <is>
          <t>losing streak</t>
        </is>
      </c>
    </row>
    <row r="2">
      <c r="A2" t="n">
        <v>1</v>
      </c>
      <c r="B2" t="inlineStr">
        <is>
          <t>long</t>
        </is>
      </c>
      <c r="C2" s="8" t="n">
        <v>46086.52638888889</v>
      </c>
      <c r="D2" s="9" t="n">
        <v>25010.75</v>
      </c>
      <c r="E2" s="8" t="n">
        <v>46086.60347222222</v>
      </c>
      <c r="F2" s="9" t="n">
        <v>24930.5</v>
      </c>
      <c r="G2" t="n">
        <v>3</v>
      </c>
      <c r="H2" s="9" t="n">
        <v>-485.5</v>
      </c>
      <c r="I2" s="9" t="n">
        <v>4</v>
      </c>
      <c r="J2" s="9" t="n">
        <v>671.5</v>
      </c>
      <c r="K2" s="9" t="n">
        <v>-483.5</v>
      </c>
      <c r="L2" t="n">
        <v>111</v>
      </c>
      <c r="M2" t="inlineStr">
        <is>
          <t>Node_-_v0.17.1-dev_CME_MINI_MNQ1!_2026-09-13_69c63.csv</t>
        </is>
      </c>
      <c r="N2" s="9">
        <f>SUM($H$2:H2)</f>
        <v/>
      </c>
      <c r="O2" s="9">
        <f>Performance!$B$3+N2</f>
        <v/>
      </c>
      <c r="P2" s="9">
        <f>MAX(Performance!$B$3,O2)</f>
        <v/>
      </c>
      <c r="Q2" s="9">
        <f>P2-O2</f>
        <v/>
      </c>
      <c r="R2" s="10">
        <f>IF(P2=0,0,Q2/P2)</f>
        <v/>
      </c>
      <c r="S2">
        <f>IF(H2&lt;0,1,0)</f>
        <v/>
      </c>
    </row>
    <row r="3">
      <c r="A3" t="n">
        <v>2</v>
      </c>
      <c r="B3" t="inlineStr">
        <is>
          <t>short</t>
        </is>
      </c>
      <c r="C3" s="8" t="n">
        <v>46125.44236111111</v>
      </c>
      <c r="D3" s="9" t="n">
        <v>25182.5</v>
      </c>
      <c r="E3" s="8" t="n">
        <v>46125.45069444444</v>
      </c>
      <c r="F3" s="9" t="n">
        <v>25239.25</v>
      </c>
      <c r="G3" t="n">
        <v>4</v>
      </c>
      <c r="H3" s="9" t="n">
        <v>-458</v>
      </c>
      <c r="I3" s="9" t="n">
        <v>4</v>
      </c>
      <c r="J3" s="9" t="n">
        <v>178</v>
      </c>
      <c r="K3" s="9" t="n">
        <v>-456</v>
      </c>
      <c r="L3" t="n">
        <v>12</v>
      </c>
      <c r="M3" t="inlineStr">
        <is>
          <t>Node_-_v0.17.1-dev_CME_MINI_MNQ1!_2026-09-13_58c79.csv</t>
        </is>
      </c>
      <c r="N3" s="9">
        <f>SUM($H$2:H3)</f>
        <v/>
      </c>
      <c r="O3" s="9">
        <f>Performance!$B$3+N3</f>
        <v/>
      </c>
      <c r="P3" s="9">
        <f>MAX(P2,O3)</f>
        <v/>
      </c>
      <c r="Q3" s="9">
        <f>P3-O3</f>
        <v/>
      </c>
      <c r="R3" s="10">
        <f>IF(P3=0,0,Q3/P3)</f>
        <v/>
      </c>
      <c r="S3">
        <f>IF(H3&lt;0,S2+1,0)</f>
        <v/>
      </c>
    </row>
    <row r="4">
      <c r="A4" t="n">
        <v>3</v>
      </c>
      <c r="B4" t="inlineStr">
        <is>
          <t>long</t>
        </is>
      </c>
      <c r="C4" s="8" t="n">
        <v>46139.45486111111</v>
      </c>
      <c r="D4" s="9" t="n">
        <v>27378.25</v>
      </c>
      <c r="E4" s="8" t="n">
        <v>46139.79236111111</v>
      </c>
      <c r="F4" s="9" t="n">
        <v>27436</v>
      </c>
      <c r="G4" t="n">
        <v>3</v>
      </c>
      <c r="H4" s="9" t="n">
        <v>342.5</v>
      </c>
      <c r="I4" s="9" t="n">
        <v>4</v>
      </c>
      <c r="J4" s="9" t="n">
        <v>442</v>
      </c>
      <c r="K4" s="9" t="n">
        <v>-428</v>
      </c>
      <c r="L4" t="n">
        <v>426</v>
      </c>
      <c r="M4" t="inlineStr">
        <is>
          <t>Node_-_v0.17.1-dev_CME_MINI_MNQ1!_2026-09-13_b019e.csv</t>
        </is>
      </c>
      <c r="N4" s="9">
        <f>SUM($H$2:H4)</f>
        <v/>
      </c>
      <c r="O4" s="9">
        <f>Performance!$B$3+N4</f>
        <v/>
      </c>
      <c r="P4" s="9">
        <f>MAX(P3,O4)</f>
        <v/>
      </c>
      <c r="Q4" s="9">
        <f>P4-O4</f>
        <v/>
      </c>
      <c r="R4" s="10">
        <f>IF(P4=0,0,Q4/P4)</f>
        <v/>
      </c>
      <c r="S4">
        <f>IF(H4&lt;0,S3+1,0)</f>
        <v/>
      </c>
    </row>
    <row r="5">
      <c r="A5" t="n">
        <v>4</v>
      </c>
      <c r="B5" t="inlineStr">
        <is>
          <t>long</t>
        </is>
      </c>
      <c r="C5" s="8" t="n">
        <v>46149.625</v>
      </c>
      <c r="D5" s="9" t="n">
        <v>28696.25</v>
      </c>
      <c r="E5" s="8" t="n">
        <v>46149.79166666666</v>
      </c>
      <c r="F5" s="9" t="n">
        <v>28553.5</v>
      </c>
      <c r="G5" t="n">
        <v>1</v>
      </c>
      <c r="H5" s="9" t="n">
        <v>-289.5</v>
      </c>
      <c r="I5" s="9" t="n">
        <v>4</v>
      </c>
      <c r="J5" s="9" t="n">
        <v>139.5</v>
      </c>
      <c r="K5" s="9" t="n">
        <v>-287.5</v>
      </c>
      <c r="L5" t="n">
        <v>180</v>
      </c>
      <c r="M5" t="inlineStr">
        <is>
          <t>Node_-_v0.17.1-dev_CME_MINI_MNQ1!_2026-09-13_b019e.csv</t>
        </is>
      </c>
      <c r="N5" s="9">
        <f>SUM($H$2:H5)</f>
        <v/>
      </c>
      <c r="O5" s="9">
        <f>Performance!$B$3+N5</f>
        <v/>
      </c>
      <c r="P5" s="9">
        <f>MAX(P4,O5)</f>
        <v/>
      </c>
      <c r="Q5" s="9">
        <f>P5-O5</f>
        <v/>
      </c>
      <c r="R5" s="10">
        <f>IF(P5=0,0,Q5/P5)</f>
        <v/>
      </c>
      <c r="S5">
        <f>IF(H5&lt;0,S4+1,0)</f>
        <v/>
      </c>
    </row>
    <row r="6">
      <c r="A6" t="n">
        <v>5</v>
      </c>
      <c r="B6" t="inlineStr">
        <is>
          <t>short</t>
        </is>
      </c>
      <c r="C6" s="8" t="n">
        <v>46162.45277777778</v>
      </c>
      <c r="D6" s="9" t="n">
        <v>29101</v>
      </c>
      <c r="E6" s="8" t="n">
        <v>46162.46944444445</v>
      </c>
      <c r="F6" s="9" t="n">
        <v>29195.25</v>
      </c>
      <c r="G6" t="n">
        <v>2</v>
      </c>
      <c r="H6" s="9" t="n">
        <v>-381</v>
      </c>
      <c r="I6" s="9" t="n">
        <v>4</v>
      </c>
      <c r="J6" s="9" t="n">
        <v>370</v>
      </c>
      <c r="K6" s="9" t="n">
        <v>-379</v>
      </c>
      <c r="L6" t="n">
        <v>24</v>
      </c>
      <c r="M6" t="inlineStr">
        <is>
          <t>Node_-_v0.17.1-dev_CME_MINI_MNQ1!_2026-09-13_0393c.csv</t>
        </is>
      </c>
      <c r="N6" s="9">
        <f>SUM($H$2:H6)</f>
        <v/>
      </c>
      <c r="O6" s="9">
        <f>Performance!$B$3+N6</f>
        <v/>
      </c>
      <c r="P6" s="9">
        <f>MAX(P5,O6)</f>
        <v/>
      </c>
      <c r="Q6" s="9">
        <f>P6-O6</f>
        <v/>
      </c>
      <c r="R6" s="10">
        <f>IF(P6=0,0,Q6/P6)</f>
        <v/>
      </c>
      <c r="S6">
        <f>IF(H6&lt;0,S5+1,0)</f>
        <v/>
      </c>
    </row>
    <row r="7">
      <c r="A7" t="n">
        <v>6</v>
      </c>
      <c r="B7" t="inlineStr">
        <is>
          <t>short</t>
        </is>
      </c>
      <c r="C7" s="8" t="n">
        <v>46162.50277777778</v>
      </c>
      <c r="D7" s="9" t="n">
        <v>29235.5</v>
      </c>
      <c r="E7" s="8" t="n">
        <v>46162.51041666666</v>
      </c>
      <c r="F7" s="9" t="n">
        <v>29284.75</v>
      </c>
      <c r="G7" t="n">
        <v>5</v>
      </c>
      <c r="H7" s="9" t="n">
        <v>-496.5</v>
      </c>
      <c r="I7" s="9" t="n">
        <v>4</v>
      </c>
      <c r="J7" s="9" t="n">
        <v>30.5</v>
      </c>
      <c r="K7" s="9" t="n">
        <v>-494.5</v>
      </c>
      <c r="L7" t="n">
        <v>11</v>
      </c>
      <c r="M7" t="inlineStr">
        <is>
          <t>Node_-_v0.17.1-dev_CME_MINI_MNQ1!_2026-09-13_0393c.csv</t>
        </is>
      </c>
      <c r="N7" s="9">
        <f>SUM($H$2:H7)</f>
        <v/>
      </c>
      <c r="O7" s="9">
        <f>Performance!$B$3+N7</f>
        <v/>
      </c>
      <c r="P7" s="9">
        <f>MAX(P6,O7)</f>
        <v/>
      </c>
      <c r="Q7" s="9">
        <f>P7-O7</f>
        <v/>
      </c>
      <c r="R7" s="10">
        <f>IF(P7=0,0,Q7/P7)</f>
        <v/>
      </c>
      <c r="S7">
        <f>IF(H7&lt;0,S6+1,0)</f>
        <v/>
      </c>
    </row>
    <row r="8">
      <c r="A8" t="n">
        <v>7</v>
      </c>
      <c r="B8" t="inlineStr">
        <is>
          <t>short</t>
        </is>
      </c>
      <c r="C8" s="8" t="n">
        <v>46183.48958333334</v>
      </c>
      <c r="D8" s="9" t="n">
        <v>29083.25</v>
      </c>
      <c r="E8" s="8" t="n">
        <v>46183.50833333333</v>
      </c>
      <c r="F8" s="9" t="n">
        <v>28747</v>
      </c>
      <c r="G8" t="n">
        <v>1</v>
      </c>
      <c r="H8" s="9" t="n">
        <v>668.5</v>
      </c>
      <c r="I8" s="9" t="n">
        <v>4</v>
      </c>
      <c r="J8" s="9" t="n">
        <v>670.5</v>
      </c>
      <c r="K8" s="9" t="n">
        <v>-89</v>
      </c>
      <c r="L8" t="n">
        <v>27</v>
      </c>
      <c r="M8" t="inlineStr">
        <is>
          <t>Node_-_v0.17.1-dev_CME_MINI_MNQ1!_2026-09-13_984fa.csv</t>
        </is>
      </c>
      <c r="N8" s="9">
        <f>SUM($H$2:H8)</f>
        <v/>
      </c>
      <c r="O8" s="9">
        <f>Performance!$B$3+N8</f>
        <v/>
      </c>
      <c r="P8" s="9">
        <f>MAX(P7,O8)</f>
        <v/>
      </c>
      <c r="Q8" s="9">
        <f>P8-O8</f>
        <v/>
      </c>
      <c r="R8" s="10">
        <f>IF(P8=0,0,Q8/P8)</f>
        <v/>
      </c>
      <c r="S8">
        <f>IF(H8&lt;0,S7+1,0)</f>
        <v/>
      </c>
    </row>
    <row r="9">
      <c r="A9" t="n">
        <v>8</v>
      </c>
      <c r="B9" t="inlineStr">
        <is>
          <t>short</t>
        </is>
      </c>
      <c r="C9" s="8" t="n">
        <v>46184.46319444444</v>
      </c>
      <c r="D9" s="9" t="n">
        <v>29012.25</v>
      </c>
      <c r="E9" s="8" t="n">
        <v>46184.46527777778</v>
      </c>
      <c r="F9" s="9" t="n">
        <v>28938.5</v>
      </c>
      <c r="G9" t="n">
        <v>6</v>
      </c>
      <c r="H9" s="9" t="n">
        <v>881</v>
      </c>
      <c r="I9" s="9" t="n">
        <v>4</v>
      </c>
      <c r="J9" s="9" t="n">
        <v>883</v>
      </c>
      <c r="K9" s="9" t="n">
        <v>-146</v>
      </c>
      <c r="L9" t="n">
        <v>3</v>
      </c>
      <c r="M9" t="inlineStr">
        <is>
          <t>Node_-_v0.17.1-dev_CME_MINI_MNQ1!_2026-09-13_984fa.csv</t>
        </is>
      </c>
      <c r="N9" s="9">
        <f>SUM($H$2:H9)</f>
        <v/>
      </c>
      <c r="O9" s="9">
        <f>Performance!$B$3+N9</f>
        <v/>
      </c>
      <c r="P9" s="9">
        <f>MAX(P8,O9)</f>
        <v/>
      </c>
      <c r="Q9" s="9">
        <f>P9-O9</f>
        <v/>
      </c>
      <c r="R9" s="10">
        <f>IF(P9=0,0,Q9/P9)</f>
        <v/>
      </c>
      <c r="S9">
        <f>IF(H9&lt;0,S8+1,0)</f>
        <v/>
      </c>
    </row>
    <row r="10">
      <c r="A10" t="n">
        <v>9</v>
      </c>
      <c r="B10" t="inlineStr">
        <is>
          <t>long</t>
        </is>
      </c>
      <c r="C10" s="8" t="n">
        <v>46189.44236111111</v>
      </c>
      <c r="D10" s="9" t="n">
        <v>30808.5</v>
      </c>
      <c r="E10" s="8" t="n">
        <v>46189.47152777778</v>
      </c>
      <c r="F10" s="9" t="n">
        <v>30750.75</v>
      </c>
      <c r="G10" t="n">
        <v>4</v>
      </c>
      <c r="H10" s="9" t="n">
        <v>-466</v>
      </c>
      <c r="I10" s="9" t="n">
        <v>4</v>
      </c>
      <c r="J10" s="9" t="n">
        <v>642</v>
      </c>
      <c r="K10" s="9" t="n">
        <v>-464</v>
      </c>
      <c r="L10" t="n">
        <v>42</v>
      </c>
      <c r="M10" t="inlineStr">
        <is>
          <t>Node_-_v0.17.1-dev_CME_MINI_MNQ1!_2026-09-13_984fa.csv</t>
        </is>
      </c>
      <c r="N10" s="9">
        <f>SUM($H$2:H10)</f>
        <v/>
      </c>
      <c r="O10" s="9">
        <f>Performance!$B$3+N10</f>
        <v/>
      </c>
      <c r="P10" s="9">
        <f>MAX(P9,O10)</f>
        <v/>
      </c>
      <c r="Q10" s="9">
        <f>P10-O10</f>
        <v/>
      </c>
      <c r="R10" s="10">
        <f>IF(P10=0,0,Q10/P10)</f>
        <v/>
      </c>
      <c r="S10">
        <f>IF(H10&lt;0,S9+1,0)</f>
        <v/>
      </c>
    </row>
    <row r="11">
      <c r="A11" t="n">
        <v>10</v>
      </c>
      <c r="B11" t="inlineStr">
        <is>
          <t>short</t>
        </is>
      </c>
      <c r="C11" s="8" t="n">
        <v>46197.50694444445</v>
      </c>
      <c r="D11" s="9" t="n">
        <v>29784.5</v>
      </c>
      <c r="E11" s="8" t="n">
        <v>46197.59444444445</v>
      </c>
      <c r="F11" s="9" t="n">
        <v>29537.75</v>
      </c>
      <c r="G11" t="n">
        <v>2</v>
      </c>
      <c r="H11" s="9" t="n">
        <v>983</v>
      </c>
      <c r="I11" s="9" t="n">
        <v>4</v>
      </c>
      <c r="J11" s="9" t="n">
        <v>985</v>
      </c>
      <c r="K11" s="9" t="n">
        <v>-178</v>
      </c>
      <c r="L11" t="n">
        <v>126</v>
      </c>
      <c r="M11" t="inlineStr">
        <is>
          <t>Node_-_v0.17.1-dev_CME_MINI_MNQ1!_2026-09-13_8a095.csv</t>
        </is>
      </c>
      <c r="N11" s="9">
        <f>SUM($H$2:H11)</f>
        <v/>
      </c>
      <c r="O11" s="9">
        <f>Performance!$B$3+N11</f>
        <v/>
      </c>
      <c r="P11" s="9">
        <f>MAX(P10,O11)</f>
        <v/>
      </c>
      <c r="Q11" s="9">
        <f>P11-O11</f>
        <v/>
      </c>
      <c r="R11" s="10">
        <f>IF(P11=0,0,Q11/P11)</f>
        <v/>
      </c>
      <c r="S11">
        <f>IF(H11&lt;0,S10+1,0)</f>
        <v/>
      </c>
    </row>
    <row r="12">
      <c r="A12" t="n">
        <v>11</v>
      </c>
      <c r="B12" t="inlineStr">
        <is>
          <t>long</t>
        </is>
      </c>
      <c r="C12" s="8" t="n">
        <v>46234.47152777778</v>
      </c>
      <c r="D12" s="9" t="n">
        <v>28194</v>
      </c>
      <c r="E12" s="8" t="n">
        <v>46234.59375</v>
      </c>
      <c r="F12" s="9" t="n">
        <v>28421</v>
      </c>
      <c r="G12" t="n">
        <v>2</v>
      </c>
      <c r="H12" s="9" t="n">
        <v>904</v>
      </c>
      <c r="I12" s="9" t="n">
        <v>4</v>
      </c>
      <c r="J12" s="9" t="n">
        <v>906</v>
      </c>
      <c r="K12" s="9" t="n">
        <v>-316</v>
      </c>
      <c r="L12" t="n">
        <v>176</v>
      </c>
      <c r="M12" t="inlineStr">
        <is>
          <t>Node_-_v0.17.1-dev_CME_MINI_MNQ1!_2026-09-13_c96c8.csv</t>
        </is>
      </c>
      <c r="N12" s="9">
        <f>SUM($H$2:H12)</f>
        <v/>
      </c>
      <c r="O12" s="9">
        <f>Performance!$B$3+N12</f>
        <v/>
      </c>
      <c r="P12" s="9">
        <f>MAX(P11,O12)</f>
        <v/>
      </c>
      <c r="Q12" s="9">
        <f>P12-O12</f>
        <v/>
      </c>
      <c r="R12" s="10">
        <f>IF(P12=0,0,Q12/P12)</f>
        <v/>
      </c>
      <c r="S12">
        <f>IF(H12&lt;0,S11+1,0)</f>
        <v/>
      </c>
    </row>
    <row r="13">
      <c r="A13" t="n">
        <v>12</v>
      </c>
      <c r="B13" t="inlineStr">
        <is>
          <t>long</t>
        </is>
      </c>
      <c r="C13" s="8" t="n">
        <v>46237.44236111111</v>
      </c>
      <c r="D13" s="9" t="n">
        <v>28501.5</v>
      </c>
      <c r="E13" s="8" t="n">
        <v>46237.59930555556</v>
      </c>
      <c r="F13" s="9" t="n">
        <v>28878.5</v>
      </c>
      <c r="G13" t="n">
        <v>1</v>
      </c>
      <c r="H13" s="9" t="n">
        <v>750</v>
      </c>
      <c r="I13" s="9" t="n">
        <v>4</v>
      </c>
      <c r="J13" s="9" t="n">
        <v>752</v>
      </c>
      <c r="K13" s="9" t="n">
        <v>-173</v>
      </c>
      <c r="L13" t="n">
        <v>226</v>
      </c>
      <c r="M13" t="inlineStr">
        <is>
          <t>Node_-_v0.17.1-dev_CME_MINI_MNQ1!_2026-09-13_bb623.csv</t>
        </is>
      </c>
      <c r="N13" s="9">
        <f>SUM($H$2:H13)</f>
        <v/>
      </c>
      <c r="O13" s="9">
        <f>Performance!$B$3+N13</f>
        <v/>
      </c>
      <c r="P13" s="9">
        <f>MAX(P12,O13)</f>
        <v/>
      </c>
      <c r="Q13" s="9">
        <f>P13-O13</f>
        <v/>
      </c>
      <c r="R13" s="10">
        <f>IF(P13=0,0,Q13/P13)</f>
        <v/>
      </c>
      <c r="S13">
        <f>IF(H13&lt;0,S12+1,0)</f>
        <v/>
      </c>
    </row>
    <row r="14">
      <c r="A14" t="n">
        <v>13</v>
      </c>
      <c r="B14" t="inlineStr">
        <is>
          <t>long</t>
        </is>
      </c>
      <c r="C14" s="8" t="n">
        <v>46239.55208333334</v>
      </c>
      <c r="D14" s="9" t="n">
        <v>29731.25</v>
      </c>
      <c r="E14" s="8" t="n">
        <v>46239.55625</v>
      </c>
      <c r="F14" s="9" t="n">
        <v>29791.75</v>
      </c>
      <c r="G14" t="n">
        <v>8</v>
      </c>
      <c r="H14" s="9" t="n">
        <v>964</v>
      </c>
      <c r="I14" s="9" t="n">
        <v>4</v>
      </c>
      <c r="J14" s="9" t="n">
        <v>966</v>
      </c>
      <c r="K14" s="9" t="n">
        <v>-190</v>
      </c>
      <c r="L14" t="n">
        <v>6</v>
      </c>
      <c r="M14" t="inlineStr">
        <is>
          <t>Node_-_v0.17.1-dev_CME_MINI_MNQ1!_2026-09-13_bb623.csv</t>
        </is>
      </c>
      <c r="N14" s="9">
        <f>SUM($H$2:H14)</f>
        <v/>
      </c>
      <c r="O14" s="9">
        <f>Performance!$B$3+N14</f>
        <v/>
      </c>
      <c r="P14" s="9">
        <f>MAX(P13,O14)</f>
        <v/>
      </c>
      <c r="Q14" s="9">
        <f>P14-O14</f>
        <v/>
      </c>
      <c r="R14" s="10">
        <f>IF(P14=0,0,Q14/P14)</f>
        <v/>
      </c>
      <c r="S14">
        <f>IF(H14&lt;0,S13+1,0)</f>
        <v/>
      </c>
    </row>
    <row r="15">
      <c r="A15" t="n">
        <v>14</v>
      </c>
      <c r="B15" t="inlineStr">
        <is>
          <t>long</t>
        </is>
      </c>
      <c r="C15" s="8" t="n">
        <v>46262.47222222222</v>
      </c>
      <c r="D15" s="9" t="n">
        <v>29604.75</v>
      </c>
      <c r="E15" s="8" t="n">
        <v>46262.5</v>
      </c>
      <c r="F15" s="9" t="n">
        <v>29801.75</v>
      </c>
      <c r="G15" t="n">
        <v>2</v>
      </c>
      <c r="H15" s="9" t="n">
        <v>784</v>
      </c>
      <c r="I15" s="9" t="n">
        <v>4</v>
      </c>
      <c r="J15" s="9" t="n">
        <v>786</v>
      </c>
      <c r="K15" s="9" t="n">
        <v>-7</v>
      </c>
      <c r="L15" t="n">
        <v>40</v>
      </c>
      <c r="M15" t="inlineStr">
        <is>
          <t>Node_-_v0.17.1-dev_CME_MINI_MNQ1!_2026-09-13_33c56.csv</t>
        </is>
      </c>
      <c r="N15" s="9">
        <f>SUM($H$2:H15)</f>
        <v/>
      </c>
      <c r="O15" s="9">
        <f>Performance!$B$3+N15</f>
        <v/>
      </c>
      <c r="P15" s="9">
        <f>MAX(P14,O15)</f>
        <v/>
      </c>
      <c r="Q15" s="9">
        <f>P15-O15</f>
        <v/>
      </c>
      <c r="R15" s="10">
        <f>IF(P15=0,0,Q15/P15)</f>
        <v/>
      </c>
      <c r="S15">
        <f>IF(H15&lt;0,S14+1,0)</f>
        <v/>
      </c>
    </row>
    <row r="16">
      <c r="A16" t="n">
        <v>15</v>
      </c>
      <c r="B16" t="inlineStr">
        <is>
          <t>long</t>
        </is>
      </c>
      <c r="C16" s="8" t="n">
        <v>46269.52986111111</v>
      </c>
      <c r="D16" s="9" t="n">
        <v>29521</v>
      </c>
      <c r="E16" s="8" t="n">
        <v>46269.6125</v>
      </c>
      <c r="F16" s="9" t="n">
        <v>29477.75</v>
      </c>
      <c r="G16" t="n">
        <v>5</v>
      </c>
      <c r="H16" s="9" t="n">
        <v>-436.5</v>
      </c>
      <c r="I16" s="9" t="n">
        <v>4</v>
      </c>
      <c r="J16" s="9" t="n">
        <v>748</v>
      </c>
      <c r="K16" s="9" t="n">
        <v>-434.5</v>
      </c>
      <c r="L16" t="n">
        <v>119</v>
      </c>
      <c r="M16" t="inlineStr">
        <is>
          <t>Node_-_v0.17.1-dev_CME_MINI_MNQ1!_2026-09-13_11e6b.csv</t>
        </is>
      </c>
      <c r="N16" s="9">
        <f>SUM($H$2:H16)</f>
        <v/>
      </c>
      <c r="O16" s="9">
        <f>Performance!$B$3+N16</f>
        <v/>
      </c>
      <c r="P16" s="9">
        <f>MAX(P15,O16)</f>
        <v/>
      </c>
      <c r="Q16" s="9">
        <f>P16-O16</f>
        <v/>
      </c>
      <c r="R16" s="10">
        <f>IF(P16=0,0,Q16/P16)</f>
        <v/>
      </c>
      <c r="S16">
        <f>IF(H16&lt;0,S15+1,0)</f>
        <v/>
      </c>
    </row>
    <row r="17">
      <c r="A17" t="n">
        <v>16</v>
      </c>
      <c r="B17" t="inlineStr">
        <is>
          <t>long</t>
        </is>
      </c>
      <c r="C17" s="8" t="n">
        <v>46269.61666666667</v>
      </c>
      <c r="D17" s="9" t="n">
        <v>29484.75</v>
      </c>
      <c r="E17" s="8" t="n">
        <v>46269.64583333334</v>
      </c>
      <c r="F17" s="9" t="n">
        <v>29517.75</v>
      </c>
      <c r="G17" t="n">
        <v>15</v>
      </c>
      <c r="H17" s="9" t="n">
        <v>986</v>
      </c>
      <c r="I17" s="9" t="n">
        <v>4</v>
      </c>
      <c r="J17" s="9" t="n">
        <v>988</v>
      </c>
      <c r="K17" s="9" t="n">
        <v>-407</v>
      </c>
      <c r="L17" t="n">
        <v>42</v>
      </c>
      <c r="M17" t="inlineStr">
        <is>
          <t>Node_-_v0.17.1-dev_CME_MINI_MNQ1!_2026-09-13_11e6b.csv</t>
        </is>
      </c>
      <c r="N17" s="9">
        <f>SUM($H$2:H17)</f>
        <v/>
      </c>
      <c r="O17" s="9">
        <f>Performance!$B$3+N17</f>
        <v/>
      </c>
      <c r="P17" s="9">
        <f>MAX(P16,O17)</f>
        <v/>
      </c>
      <c r="Q17" s="9">
        <f>P17-O17</f>
        <v/>
      </c>
      <c r="R17" s="10">
        <f>IF(P17=0,0,Q17/P17)</f>
        <v/>
      </c>
      <c r="S17">
        <f>IF(H17&lt;0,S16+1,0)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2026-09-13T15:05:30Z</dcterms:created>
  <dcterms:modified xsi:type="dcterms:W3CDTF">2026-09-13T15:05:30Z</dcterms:modified>
</cp:coreProperties>
</file>