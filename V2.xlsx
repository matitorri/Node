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tiastorrilla/projects/TV-Strats/Node/"/>
    </mc:Choice>
  </mc:AlternateContent>
  <xr:revisionPtr revIDLastSave="0" documentId="13_ncr:1_{3ADC6DB0-6E49-0C40-A8CB-6726B091D640}" xr6:coauthVersionLast="47" xr6:coauthVersionMax="47" xr10:uidLastSave="{00000000-0000-0000-0000-000000000000}"/>
  <bookViews>
    <workbookView xWindow="0" yWindow="0" windowWidth="28800" windowHeight="18000" activeTab="1" xr2:uid="{CB8A66BD-079F-D040-AABD-E821572FC271}"/>
  </bookViews>
  <sheets>
    <sheet name="Sheet1" sheetId="1" r:id="rId1"/>
    <sheet name="Business Objects" sheetId="2" r:id="rId2"/>
  </sheets>
  <definedNames>
    <definedName name="_xlnm._FilterDatabase" localSheetId="0" hidden="1">Sheet1!$A$1:$K$14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3" i="1"/>
  <c r="A4" i="1" s="1"/>
  <c r="A5" i="1" s="1"/>
  <c r="A11" i="1" l="1"/>
  <c r="A12" i="1" l="1"/>
  <c r="A13" i="1" s="1"/>
  <c r="A14" i="1" s="1"/>
  <c r="A15" i="1" s="1"/>
  <c r="A16" i="1"/>
  <c r="A21" i="1" l="1"/>
  <c r="A17" i="1"/>
  <c r="A18" i="1" s="1"/>
  <c r="A19" i="1" s="1"/>
  <c r="A20" i="1" s="1"/>
  <c r="A22" i="1" l="1"/>
  <c r="A23" i="1" s="1"/>
  <c r="A24" i="1" s="1"/>
  <c r="A25" i="1" s="1"/>
  <c r="A26" i="1"/>
  <c r="A27" i="1" l="1"/>
  <c r="A28" i="1" s="1"/>
  <c r="A29" i="1" s="1"/>
  <c r="A30" i="1" s="1"/>
  <c r="A31" i="1"/>
  <c r="A32" i="1" l="1"/>
  <c r="A33" i="1" s="1"/>
  <c r="A34" i="1" s="1"/>
  <c r="A35" i="1" s="1"/>
  <c r="A36" i="1"/>
  <c r="A37" i="1" l="1"/>
  <c r="A38" i="1" s="1"/>
  <c r="A39" i="1" s="1"/>
  <c r="A40" i="1" s="1"/>
  <c r="A41" i="1"/>
  <c r="A42" i="1" l="1"/>
  <c r="A43" i="1" s="1"/>
  <c r="A44" i="1" s="1"/>
  <c r="A45" i="1" s="1"/>
  <c r="A46" i="1"/>
  <c r="A47" i="1" l="1"/>
  <c r="A48" i="1" s="1"/>
  <c r="A49" i="1" s="1"/>
  <c r="A50" i="1" s="1"/>
  <c r="A51" i="1"/>
  <c r="A52" i="1" l="1"/>
  <c r="A53" i="1" s="1"/>
  <c r="A54" i="1" s="1"/>
  <c r="A55" i="1" s="1"/>
  <c r="A56" i="1"/>
  <c r="A57" i="1" l="1"/>
  <c r="A58" i="1" s="1"/>
  <c r="A59" i="1" s="1"/>
  <c r="A60" i="1" s="1"/>
  <c r="A61" i="1"/>
  <c r="A62" i="1" l="1"/>
  <c r="A63" i="1" s="1"/>
  <c r="A64" i="1" s="1"/>
  <c r="A65" i="1" s="1"/>
  <c r="A66" i="1"/>
  <c r="A67" i="1" s="1"/>
</calcChain>
</file>

<file path=xl/sharedStrings.xml><?xml version="1.0" encoding="utf-8"?>
<sst xmlns="http://schemas.openxmlformats.org/spreadsheetml/2006/main" count="158" uniqueCount="69">
  <si>
    <t>Cluster H4</t>
  </si>
  <si>
    <t>Trend Following Strategy</t>
  </si>
  <si>
    <t>Latent Objects</t>
  </si>
  <si>
    <t>Cluster Objects</t>
  </si>
  <si>
    <t>Cluster H4, no cluster</t>
  </si>
  <si>
    <t>Signal</t>
  </si>
  <si>
    <t>STOP in Lower</t>
  </si>
  <si>
    <t>Strategy</t>
  </si>
  <si>
    <t>Cluster H4 (previous day), Cluster H4 (Investor)</t>
  </si>
  <si>
    <t>Reversal Strategy</t>
  </si>
  <si>
    <t>https://tradezella-chart-snapshots.s3.us-east-2.amazonaws.com/1fac394c/092f3cee-c547-41f6-acda-e61f12d13755.png</t>
  </si>
  <si>
    <t>https://tradezella-chart-snapshots.s3.us-east-2.amazonaws.com/1fac394c/5adfe937-54c1-4a7a-908e-fd21d70cbb1c.png</t>
  </si>
  <si>
    <t>https://tradezella-chart-snapshots.s3.us-east-2.amazonaws.com/1fac394c/9ab59c24-9cf4-4db0-a4eb-7f5a27d9cb7c.png</t>
  </si>
  <si>
    <t>https://tradezella-chart-snapshots.s3.us-east-2.amazonaws.com/1fac394c/e528a6d3-41f4-4c88-a6d8-326075843736.png</t>
  </si>
  <si>
    <t>https://tradezella-chart-snapshots.s3.us-east-2.amazonaws.com/1fac394c/a6401caf-d105-4279-a73f-cd0675344d69.png</t>
  </si>
  <si>
    <t>https://tradezella-chart-snapshots.s3.us-east-2.amazonaws.com/1fac394c/f1c12984-2b94-4c21-af2a-3b51ef67d850.png</t>
  </si>
  <si>
    <t>Cluster H4 (previous day)</t>
  </si>
  <si>
    <t>Trend Object</t>
  </si>
  <si>
    <t>sin Opposite (SHORT)</t>
  </si>
  <si>
    <t>STOP in Higher</t>
  </si>
  <si>
    <t>https://tradezella-chart-snapshots.s3.us-east-2.amazonaws.com/1fac394c/8ec33901-fa56-40a6-800f-0deb89f19220.png</t>
  </si>
  <si>
    <t>https://tradezella-chart-snapshots.s3.us-east-2.amazonaws.com/1fac394c/8acae2ca-05dd-4e1d-8774-c4fda0c99f3b.png</t>
  </si>
  <si>
    <t>Trend Object (Previous day collapses),ID Trend Collapses, sin opposite (LONG)</t>
  </si>
  <si>
    <t>Cluster H4 (Swing Trend)</t>
  </si>
  <si>
    <t>Liquidations objects</t>
  </si>
  <si>
    <t>Previous day liquidation, Scalper liquidation</t>
  </si>
  <si>
    <t>Opposite H4 cluster liquidated</t>
  </si>
  <si>
    <t>Sin opposite (LONG)</t>
  </si>
  <si>
    <t>LONG STOP</t>
  </si>
  <si>
    <t>Actual day Low liquidated</t>
  </si>
  <si>
    <t>SHORT STOP</t>
  </si>
  <si>
    <t>Daily Lows/ Highs Liquidated</t>
  </si>
  <si>
    <t>Daily Lows/ Highs Liquidated, Actual day HIGHs liquidated</t>
  </si>
  <si>
    <t>NY Lows Liquidated</t>
  </si>
  <si>
    <t>Cluster H4 (previous day) (con imbalance)</t>
  </si>
  <si>
    <t>Actual day highs liquidated.</t>
  </si>
  <si>
    <t>Sin opposite Object (SHORT)</t>
  </si>
  <si>
    <t>-</t>
  </si>
  <si>
    <t>Holliday</t>
  </si>
  <si>
    <t>No Position</t>
  </si>
  <si>
    <t>Date</t>
  </si>
  <si>
    <t>Reversal Strategy/Trend Following Strategy</t>
  </si>
  <si>
    <t>el setup se armo antes</t>
  </si>
  <si>
    <t>Positional</t>
  </si>
  <si>
    <t>Investor</t>
  </si>
  <si>
    <t>Swing</t>
  </si>
  <si>
    <t>Latent objects</t>
  </si>
  <si>
    <t>Break and Retest</t>
  </si>
  <si>
    <t>Investor, Positional, Swing</t>
  </si>
  <si>
    <t>Class</t>
  </si>
  <si>
    <t>Type</t>
  </si>
  <si>
    <t>Daily</t>
  </si>
  <si>
    <t>3 a 7 días</t>
  </si>
  <si>
    <t>Weekly</t>
  </si>
  <si>
    <t>Classes</t>
  </si>
  <si>
    <t>Monthly</t>
  </si>
  <si>
    <t>Timeframe</t>
  </si>
  <si>
    <t>Parameter</t>
  </si>
  <si>
    <t>3 o mas</t>
  </si>
  <si>
    <t>H4</t>
  </si>
  <si>
    <t>Swing, Momentum</t>
  </si>
  <si>
    <t>Sub-class</t>
  </si>
  <si>
    <t>Imbalance, Balance</t>
  </si>
  <si>
    <t>Events</t>
  </si>
  <si>
    <t>Price achieved</t>
  </si>
  <si>
    <t>Actual day high achieved, Actual day low achieved, NY Low achieved, NY High Achieved</t>
  </si>
  <si>
    <t>Condition</t>
  </si>
  <si>
    <t>No opposite object</t>
  </si>
  <si>
    <t>LONG, 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</si>
</sst>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0" fillId="0" borderId="1" xfId="0" applyBorder="1"/>
    <xf numFmtId="16" fontId="0" fillId="0" borderId="1" xfId="0" applyNumberFormat="1" applyBorder="1"/>
    <xf numFmtId="16" fontId="0" fillId="2" borderId="1" xfId="0" applyNumberFormat="1" applyFill="1" applyBorder="1"/>
    <xf numFmtId="0" fontId="0" fillId="0" borderId="2" xfId="0" applyBorder="1"/>
    <xf numFmtId="16" fontId="0" fillId="0" borderId="0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" xfId="0" applyBorder="1" applyAlignment="1">
      <alignment horizontal="right"/>
    </xf>
    <xf numFmtId="0" fontId="0" fillId="0" borderId="0" xfId="0" applyAlignment="1">
      <alignment horizontal="center" vertical="center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ezella-chart-snapshots.s3.us-east-2.amazonaws.com/1fac394c/8acae2ca-05dd-4e1d-8774-c4fda0c99f3b.png" TargetMode="External"/><Relationship Id="rId3" Type="http://schemas.openxmlformats.org/officeDocument/2006/relationships/hyperlink" Target="https://tradezella-chart-snapshots.s3.us-east-2.amazonaws.com/1fac394c/9ab59c24-9cf4-4db0-a4eb-7f5a27d9cb7c.png" TargetMode="External"/><Relationship Id="rId7" Type="http://schemas.openxmlformats.org/officeDocument/2006/relationships/hyperlink" Target="https://tradezella-chart-snapshots.s3.us-east-2.amazonaws.com/1fac394c/8ec33901-fa56-40a6-800f-0deb89f19220.png" TargetMode="External"/><Relationship Id="rId2" Type="http://schemas.openxmlformats.org/officeDocument/2006/relationships/hyperlink" Target="https://tradezella-chart-snapshots.s3.us-east-2.amazonaws.com/1fac394c/5adfe937-54c1-4a7a-908e-fd21d70cbb1c.png" TargetMode="External"/><Relationship Id="rId1" Type="http://schemas.openxmlformats.org/officeDocument/2006/relationships/hyperlink" Target="https://tradezella-chart-snapshots.s3.us-east-2.amazonaws.com/1fac394c/092f3cee-c547-41f6-acda-e61f12d13755.png" TargetMode="External"/><Relationship Id="rId6" Type="http://schemas.openxmlformats.org/officeDocument/2006/relationships/hyperlink" Target="https://tradezella-chart-snapshots.s3.us-east-2.amazonaws.com/1fac394c/f1c12984-2b94-4c21-af2a-3b51ef67d850.png" TargetMode="External"/><Relationship Id="rId5" Type="http://schemas.openxmlformats.org/officeDocument/2006/relationships/hyperlink" Target="https://tradezella-chart-snapshots.s3.us-east-2.amazonaws.com/1fac394c/a6401caf-d105-4279-a73f-cd0675344d69.png" TargetMode="External"/><Relationship Id="rId4" Type="http://schemas.openxmlformats.org/officeDocument/2006/relationships/hyperlink" Target="https://tradezella-chart-snapshots.s3.us-east-2.amazonaws.com/1fac394c/e528a6d3-41f4-4c88-a6d8-326075843736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2E1A0-C7E2-E240-878A-1BF7152AE85E}">
  <dimension ref="A1:L70"/>
  <sheetViews>
    <sheetView showGridLines="0" workbookViewId="0">
      <pane ySplit="1" topLeftCell="A9" activePane="bottomLeft" state="frozen"/>
      <selection pane="bottomLeft" activeCell="D14" sqref="D14"/>
    </sheetView>
  </sheetViews>
  <sheetFormatPr baseColWidth="10" defaultRowHeight="16" outlineLevelCol="1" x14ac:dyDescent="0.2"/>
  <cols>
    <col min="1" max="1" width="7.5" bestFit="1" customWidth="1"/>
    <col min="2" max="2" width="15.5" bestFit="1" customWidth="1" outlineLevel="1"/>
    <col min="3" max="4" width="40" customWidth="1" outlineLevel="1"/>
    <col min="5" max="5" width="66.33203125" customWidth="1" outlineLevel="1"/>
    <col min="6" max="6" width="13" customWidth="1" outlineLevel="1"/>
    <col min="7" max="7" width="37.6640625" bestFit="1" customWidth="1"/>
    <col min="8" max="11" width="0" hidden="1" customWidth="1"/>
    <col min="12" max="12" width="20" bestFit="1" customWidth="1"/>
  </cols>
  <sheetData>
    <row r="1" spans="1:11" x14ac:dyDescent="0.2">
      <c r="A1" s="2" t="s">
        <v>40</v>
      </c>
      <c r="B1" t="s">
        <v>2</v>
      </c>
      <c r="C1" t="s">
        <v>3</v>
      </c>
      <c r="D1" t="s">
        <v>24</v>
      </c>
      <c r="E1" t="s">
        <v>17</v>
      </c>
      <c r="F1" t="s">
        <v>5</v>
      </c>
      <c r="G1" s="5" t="s">
        <v>7</v>
      </c>
    </row>
    <row r="2" spans="1:11" x14ac:dyDescent="0.2">
      <c r="A2" s="3">
        <v>46204</v>
      </c>
      <c r="B2" t="s">
        <v>44</v>
      </c>
      <c r="C2" t="s">
        <v>4</v>
      </c>
      <c r="E2" t="s">
        <v>18</v>
      </c>
      <c r="F2" t="s">
        <v>6</v>
      </c>
      <c r="G2" s="5" t="s">
        <v>1</v>
      </c>
      <c r="H2" s="1" t="s">
        <v>12</v>
      </c>
      <c r="I2" s="1" t="s">
        <v>13</v>
      </c>
      <c r="J2" s="1" t="s">
        <v>14</v>
      </c>
      <c r="K2" s="1" t="s">
        <v>15</v>
      </c>
    </row>
    <row r="3" spans="1:11" x14ac:dyDescent="0.2">
      <c r="A3" s="3">
        <f>A2+1</f>
        <v>46205</v>
      </c>
      <c r="B3" t="s">
        <v>44</v>
      </c>
      <c r="C3" t="s">
        <v>8</v>
      </c>
      <c r="G3" s="5" t="s">
        <v>9</v>
      </c>
      <c r="H3" s="1" t="s">
        <v>10</v>
      </c>
      <c r="I3" s="1" t="s">
        <v>11</v>
      </c>
    </row>
    <row r="4" spans="1:11" x14ac:dyDescent="0.2">
      <c r="A4" s="3">
        <f>A3+1</f>
        <v>46206</v>
      </c>
      <c r="B4" t="s">
        <v>44</v>
      </c>
      <c r="C4" t="s">
        <v>16</v>
      </c>
      <c r="E4" t="s">
        <v>22</v>
      </c>
      <c r="F4" t="s">
        <v>19</v>
      </c>
      <c r="G4" s="5" t="s">
        <v>1</v>
      </c>
      <c r="H4" s="1" t="s">
        <v>20</v>
      </c>
      <c r="I4" s="1" t="s">
        <v>21</v>
      </c>
    </row>
    <row r="5" spans="1:11" x14ac:dyDescent="0.2">
      <c r="A5" s="3">
        <f>A4+1</f>
        <v>46207</v>
      </c>
      <c r="F5" t="s">
        <v>37</v>
      </c>
      <c r="G5" s="5" t="s">
        <v>38</v>
      </c>
    </row>
    <row r="6" spans="1:11" x14ac:dyDescent="0.2">
      <c r="A6" s="4">
        <f>A2+6</f>
        <v>46210</v>
      </c>
      <c r="B6" t="s">
        <v>44</v>
      </c>
      <c r="C6" t="s">
        <v>23</v>
      </c>
      <c r="G6" s="5" t="s">
        <v>39</v>
      </c>
    </row>
    <row r="7" spans="1:11" x14ac:dyDescent="0.2">
      <c r="A7" s="3">
        <f>A6+1</f>
        <v>46211</v>
      </c>
      <c r="C7" t="s">
        <v>23</v>
      </c>
      <c r="D7" t="s">
        <v>25</v>
      </c>
      <c r="G7" s="5" t="s">
        <v>39</v>
      </c>
    </row>
    <row r="8" spans="1:11" x14ac:dyDescent="0.2">
      <c r="A8" s="3">
        <f>A7+1</f>
        <v>46212</v>
      </c>
      <c r="C8" t="s">
        <v>0</v>
      </c>
      <c r="D8" t="s">
        <v>26</v>
      </c>
      <c r="E8" t="s">
        <v>27</v>
      </c>
      <c r="F8" t="s">
        <v>28</v>
      </c>
      <c r="G8" s="5" t="s">
        <v>1</v>
      </c>
    </row>
    <row r="9" spans="1:11" x14ac:dyDescent="0.2">
      <c r="A9" s="3">
        <f>A8+1</f>
        <v>46213</v>
      </c>
      <c r="C9" t="s">
        <v>16</v>
      </c>
      <c r="D9" t="s">
        <v>29</v>
      </c>
      <c r="F9" t="s">
        <v>30</v>
      </c>
      <c r="G9" s="5" t="s">
        <v>1</v>
      </c>
    </row>
    <row r="10" spans="1:11" x14ac:dyDescent="0.2">
      <c r="A10" s="3">
        <f>A9+1</f>
        <v>46214</v>
      </c>
      <c r="C10" t="s">
        <v>23</v>
      </c>
      <c r="D10" t="s">
        <v>31</v>
      </c>
      <c r="F10" t="s">
        <v>28</v>
      </c>
      <c r="G10" s="5" t="s">
        <v>1</v>
      </c>
    </row>
    <row r="11" spans="1:11" x14ac:dyDescent="0.2">
      <c r="A11" s="4">
        <f>A6+7</f>
        <v>46217</v>
      </c>
      <c r="D11" t="s">
        <v>32</v>
      </c>
      <c r="E11" t="s">
        <v>27</v>
      </c>
      <c r="F11" t="s">
        <v>28</v>
      </c>
      <c r="G11" s="5" t="s">
        <v>1</v>
      </c>
    </row>
    <row r="12" spans="1:11" x14ac:dyDescent="0.2">
      <c r="A12" s="3">
        <f>A11+1</f>
        <v>46218</v>
      </c>
      <c r="C12" t="s">
        <v>16</v>
      </c>
      <c r="D12" t="s">
        <v>33</v>
      </c>
      <c r="E12" t="s">
        <v>27</v>
      </c>
      <c r="F12" t="s">
        <v>30</v>
      </c>
      <c r="G12" s="5" t="s">
        <v>1</v>
      </c>
    </row>
    <row r="13" spans="1:11" x14ac:dyDescent="0.2">
      <c r="A13" s="3">
        <f t="shared" ref="A13:A20" si="0">A12+1</f>
        <v>46219</v>
      </c>
      <c r="C13" t="s">
        <v>34</v>
      </c>
      <c r="F13" t="s">
        <v>30</v>
      </c>
      <c r="G13" s="5" t="s">
        <v>9</v>
      </c>
    </row>
    <row r="14" spans="1:11" x14ac:dyDescent="0.2">
      <c r="A14" s="3">
        <f t="shared" si="0"/>
        <v>46220</v>
      </c>
      <c r="C14" t="s">
        <v>16</v>
      </c>
      <c r="D14" t="s">
        <v>35</v>
      </c>
      <c r="E14" t="s">
        <v>36</v>
      </c>
      <c r="F14" t="s">
        <v>28</v>
      </c>
      <c r="G14" s="5" t="s">
        <v>1</v>
      </c>
    </row>
    <row r="15" spans="1:11" x14ac:dyDescent="0.2">
      <c r="A15" s="3">
        <f t="shared" si="0"/>
        <v>46221</v>
      </c>
      <c r="G15" s="5" t="s">
        <v>9</v>
      </c>
    </row>
    <row r="16" spans="1:11" x14ac:dyDescent="0.2">
      <c r="A16" s="4">
        <f>A11+7</f>
        <v>46224</v>
      </c>
      <c r="G16" s="5" t="s">
        <v>1</v>
      </c>
    </row>
    <row r="17" spans="1:7" x14ac:dyDescent="0.2">
      <c r="A17" s="3">
        <f>A16+1</f>
        <v>46225</v>
      </c>
      <c r="G17" s="5" t="s">
        <v>1</v>
      </c>
    </row>
    <row r="18" spans="1:7" x14ac:dyDescent="0.2">
      <c r="A18" s="3">
        <f t="shared" si="0"/>
        <v>46226</v>
      </c>
      <c r="G18" s="5" t="s">
        <v>9</v>
      </c>
    </row>
    <row r="19" spans="1:7" x14ac:dyDescent="0.2">
      <c r="A19" s="3">
        <f t="shared" si="0"/>
        <v>46227</v>
      </c>
      <c r="G19" s="5" t="s">
        <v>39</v>
      </c>
    </row>
    <row r="20" spans="1:7" x14ac:dyDescent="0.2">
      <c r="A20" s="3">
        <f t="shared" si="0"/>
        <v>46228</v>
      </c>
      <c r="G20" s="5" t="s">
        <v>9</v>
      </c>
    </row>
    <row r="21" spans="1:7" x14ac:dyDescent="0.2">
      <c r="A21" s="4">
        <f>A16+7</f>
        <v>46231</v>
      </c>
      <c r="G21" s="5" t="s">
        <v>39</v>
      </c>
    </row>
    <row r="22" spans="1:7" x14ac:dyDescent="0.2">
      <c r="A22" s="3">
        <f>A21+1</f>
        <v>46232</v>
      </c>
      <c r="G22" s="5" t="s">
        <v>1</v>
      </c>
    </row>
    <row r="23" spans="1:7" x14ac:dyDescent="0.2">
      <c r="A23" s="3">
        <f t="shared" ref="A23:A30" si="1">A22+1</f>
        <v>46233</v>
      </c>
      <c r="G23" s="5" t="s">
        <v>9</v>
      </c>
    </row>
    <row r="24" spans="1:7" x14ac:dyDescent="0.2">
      <c r="A24" s="3">
        <f t="shared" si="1"/>
        <v>46234</v>
      </c>
      <c r="G24" s="5" t="s">
        <v>41</v>
      </c>
    </row>
    <row r="25" spans="1:7" x14ac:dyDescent="0.2">
      <c r="A25" s="3">
        <f t="shared" si="1"/>
        <v>46235</v>
      </c>
      <c r="G25" s="5" t="s">
        <v>1</v>
      </c>
    </row>
    <row r="26" spans="1:7" x14ac:dyDescent="0.2">
      <c r="A26" s="4">
        <f>A21+7</f>
        <v>46238</v>
      </c>
      <c r="G26" s="5" t="s">
        <v>1</v>
      </c>
    </row>
    <row r="27" spans="1:7" x14ac:dyDescent="0.2">
      <c r="A27" s="3">
        <f>A26+1</f>
        <v>46239</v>
      </c>
      <c r="G27" s="5" t="s">
        <v>1</v>
      </c>
    </row>
    <row r="28" spans="1:7" x14ac:dyDescent="0.2">
      <c r="A28" s="3">
        <f t="shared" si="1"/>
        <v>46240</v>
      </c>
      <c r="G28" s="5" t="s">
        <v>41</v>
      </c>
    </row>
    <row r="29" spans="1:7" x14ac:dyDescent="0.2">
      <c r="A29" s="3">
        <f t="shared" si="1"/>
        <v>46241</v>
      </c>
      <c r="G29" s="5" t="s">
        <v>41</v>
      </c>
    </row>
    <row r="30" spans="1:7" x14ac:dyDescent="0.2">
      <c r="A30" s="3">
        <f t="shared" si="1"/>
        <v>46242</v>
      </c>
      <c r="G30" s="5" t="s">
        <v>1</v>
      </c>
    </row>
    <row r="31" spans="1:7" x14ac:dyDescent="0.2">
      <c r="A31" s="4">
        <f>A26+7</f>
        <v>46245</v>
      </c>
      <c r="G31" s="5" t="s">
        <v>1</v>
      </c>
    </row>
    <row r="32" spans="1:7" x14ac:dyDescent="0.2">
      <c r="A32" s="3">
        <f>A31+1</f>
        <v>46246</v>
      </c>
      <c r="G32" s="5" t="s">
        <v>1</v>
      </c>
    </row>
    <row r="33" spans="1:12" x14ac:dyDescent="0.2">
      <c r="A33" s="3">
        <f t="shared" ref="A33:A40" si="2">A32+1</f>
        <v>46247</v>
      </c>
      <c r="G33" s="5" t="s">
        <v>1</v>
      </c>
    </row>
    <row r="34" spans="1:12" x14ac:dyDescent="0.2">
      <c r="A34" s="3">
        <f t="shared" si="2"/>
        <v>46248</v>
      </c>
      <c r="G34" s="5" t="s">
        <v>9</v>
      </c>
      <c r="L34" t="s">
        <v>42</v>
      </c>
    </row>
    <row r="35" spans="1:12" x14ac:dyDescent="0.2">
      <c r="A35" s="3">
        <f t="shared" si="2"/>
        <v>46249</v>
      </c>
      <c r="G35" s="5" t="s">
        <v>1</v>
      </c>
    </row>
    <row r="36" spans="1:12" x14ac:dyDescent="0.2">
      <c r="A36" s="4">
        <f>A31+7</f>
        <v>46252</v>
      </c>
      <c r="G36" s="5" t="s">
        <v>9</v>
      </c>
    </row>
    <row r="37" spans="1:12" x14ac:dyDescent="0.2">
      <c r="A37" s="3">
        <f>A36+1</f>
        <v>46253</v>
      </c>
      <c r="G37" s="5" t="s">
        <v>1</v>
      </c>
    </row>
    <row r="38" spans="1:12" x14ac:dyDescent="0.2">
      <c r="A38" s="3">
        <f t="shared" si="2"/>
        <v>46254</v>
      </c>
      <c r="G38" s="5" t="s">
        <v>1</v>
      </c>
    </row>
    <row r="39" spans="1:12" x14ac:dyDescent="0.2">
      <c r="A39" s="3">
        <f t="shared" si="2"/>
        <v>46255</v>
      </c>
      <c r="G39" s="5" t="s">
        <v>9</v>
      </c>
    </row>
    <row r="40" spans="1:12" x14ac:dyDescent="0.2">
      <c r="A40" s="3">
        <f t="shared" si="2"/>
        <v>46256</v>
      </c>
      <c r="B40" t="s">
        <v>45</v>
      </c>
      <c r="G40" s="5" t="s">
        <v>1</v>
      </c>
    </row>
    <row r="41" spans="1:12" x14ac:dyDescent="0.2">
      <c r="A41" s="4">
        <f>A36+7</f>
        <v>46259</v>
      </c>
      <c r="G41" s="5" t="s">
        <v>1</v>
      </c>
    </row>
    <row r="42" spans="1:12" x14ac:dyDescent="0.2">
      <c r="A42" s="3">
        <f>A41+1</f>
        <v>46260</v>
      </c>
      <c r="G42" s="5" t="s">
        <v>1</v>
      </c>
    </row>
    <row r="43" spans="1:12" x14ac:dyDescent="0.2">
      <c r="A43" s="3">
        <f t="shared" ref="A43:A50" si="3">A42+1</f>
        <v>46261</v>
      </c>
      <c r="G43" s="5" t="s">
        <v>9</v>
      </c>
    </row>
    <row r="44" spans="1:12" x14ac:dyDescent="0.2">
      <c r="A44" s="3">
        <f t="shared" si="3"/>
        <v>46262</v>
      </c>
      <c r="B44" t="s">
        <v>45</v>
      </c>
      <c r="G44" s="5" t="s">
        <v>1</v>
      </c>
    </row>
    <row r="45" spans="1:12" x14ac:dyDescent="0.2">
      <c r="A45" s="3">
        <f t="shared" si="3"/>
        <v>46263</v>
      </c>
      <c r="G45" s="5" t="s">
        <v>1</v>
      </c>
    </row>
    <row r="46" spans="1:12" x14ac:dyDescent="0.2">
      <c r="A46" s="4">
        <f>A41+7</f>
        <v>46266</v>
      </c>
      <c r="G46" s="5" t="s">
        <v>38</v>
      </c>
    </row>
    <row r="47" spans="1:12" x14ac:dyDescent="0.2">
      <c r="A47" s="3">
        <f>A46+1</f>
        <v>46267</v>
      </c>
      <c r="G47" s="5" t="s">
        <v>39</v>
      </c>
    </row>
    <row r="48" spans="1:12" x14ac:dyDescent="0.2">
      <c r="A48" s="3">
        <f t="shared" si="3"/>
        <v>46268</v>
      </c>
      <c r="G48" s="5" t="s">
        <v>9</v>
      </c>
    </row>
    <row r="49" spans="1:7" x14ac:dyDescent="0.2">
      <c r="A49" s="3">
        <f t="shared" si="3"/>
        <v>46269</v>
      </c>
      <c r="G49" s="5" t="s">
        <v>41</v>
      </c>
    </row>
    <row r="50" spans="1:7" x14ac:dyDescent="0.2">
      <c r="A50" s="3">
        <f t="shared" si="3"/>
        <v>46270</v>
      </c>
      <c r="B50" t="s">
        <v>45</v>
      </c>
      <c r="G50" s="5" t="s">
        <v>41</v>
      </c>
    </row>
    <row r="51" spans="1:7" x14ac:dyDescent="0.2">
      <c r="A51" s="4">
        <f>A46+7</f>
        <v>46273</v>
      </c>
      <c r="G51" s="5" t="s">
        <v>1</v>
      </c>
    </row>
    <row r="52" spans="1:7" x14ac:dyDescent="0.2">
      <c r="A52" s="3">
        <f>A51+1</f>
        <v>46274</v>
      </c>
      <c r="G52" s="5" t="s">
        <v>1</v>
      </c>
    </row>
    <row r="53" spans="1:7" x14ac:dyDescent="0.2">
      <c r="A53" s="3">
        <f t="shared" ref="A53:A60" si="4">A52+1</f>
        <v>46275</v>
      </c>
      <c r="G53" s="5" t="s">
        <v>1</v>
      </c>
    </row>
    <row r="54" spans="1:7" x14ac:dyDescent="0.2">
      <c r="A54" s="3">
        <f t="shared" si="4"/>
        <v>46276</v>
      </c>
      <c r="G54" s="5" t="s">
        <v>1</v>
      </c>
    </row>
    <row r="55" spans="1:7" x14ac:dyDescent="0.2">
      <c r="A55" s="3">
        <f t="shared" si="4"/>
        <v>46277</v>
      </c>
      <c r="G55" s="5" t="s">
        <v>1</v>
      </c>
    </row>
    <row r="56" spans="1:7" x14ac:dyDescent="0.2">
      <c r="A56" s="4">
        <f>A51+7</f>
        <v>46280</v>
      </c>
      <c r="G56" s="5" t="s">
        <v>1</v>
      </c>
    </row>
    <row r="57" spans="1:7" x14ac:dyDescent="0.2">
      <c r="A57" s="3">
        <f>A56+1</f>
        <v>46281</v>
      </c>
      <c r="G57" s="5" t="s">
        <v>1</v>
      </c>
    </row>
    <row r="58" spans="1:7" x14ac:dyDescent="0.2">
      <c r="A58" s="3">
        <f t="shared" si="4"/>
        <v>46282</v>
      </c>
      <c r="G58" s="5" t="s">
        <v>1</v>
      </c>
    </row>
    <row r="59" spans="1:7" x14ac:dyDescent="0.2">
      <c r="A59" s="3">
        <f t="shared" si="4"/>
        <v>46283</v>
      </c>
      <c r="B59" t="s">
        <v>45</v>
      </c>
      <c r="G59" s="5" t="s">
        <v>1</v>
      </c>
    </row>
    <row r="60" spans="1:7" x14ac:dyDescent="0.2">
      <c r="A60" s="3">
        <f t="shared" si="4"/>
        <v>46284</v>
      </c>
      <c r="G60" s="5" t="s">
        <v>1</v>
      </c>
    </row>
    <row r="61" spans="1:7" x14ac:dyDescent="0.2">
      <c r="A61" s="4">
        <f>A56+7</f>
        <v>46287</v>
      </c>
      <c r="G61" s="2" t="s">
        <v>1</v>
      </c>
    </row>
    <row r="62" spans="1:7" x14ac:dyDescent="0.2">
      <c r="A62" s="3">
        <f>A61+1</f>
        <v>46288</v>
      </c>
      <c r="G62" s="2" t="s">
        <v>1</v>
      </c>
    </row>
    <row r="63" spans="1:7" x14ac:dyDescent="0.2">
      <c r="A63" s="3">
        <f>A62+1</f>
        <v>46289</v>
      </c>
      <c r="G63" s="2" t="s">
        <v>1</v>
      </c>
    </row>
    <row r="64" spans="1:7" x14ac:dyDescent="0.2">
      <c r="A64" s="3">
        <f>A63+1</f>
        <v>46290</v>
      </c>
      <c r="G64" s="2" t="s">
        <v>9</v>
      </c>
    </row>
    <row r="65" spans="1:7" x14ac:dyDescent="0.2">
      <c r="A65" s="3">
        <f>A64+1</f>
        <v>46291</v>
      </c>
      <c r="G65" s="2" t="s">
        <v>9</v>
      </c>
    </row>
    <row r="66" spans="1:7" x14ac:dyDescent="0.2">
      <c r="A66" s="4">
        <f>A61+7</f>
        <v>46294</v>
      </c>
      <c r="B66" t="s">
        <v>45</v>
      </c>
      <c r="G66" s="2" t="s">
        <v>1</v>
      </c>
    </row>
    <row r="67" spans="1:7" x14ac:dyDescent="0.2">
      <c r="A67" s="3">
        <f>A66+1</f>
        <v>46295</v>
      </c>
      <c r="G67" s="2" t="s">
        <v>9</v>
      </c>
    </row>
    <row r="68" spans="1:7" x14ac:dyDescent="0.2">
      <c r="A68" s="6"/>
    </row>
    <row r="69" spans="1:7" x14ac:dyDescent="0.2">
      <c r="A69" s="6"/>
    </row>
    <row r="70" spans="1:7" x14ac:dyDescent="0.2">
      <c r="A70" s="6"/>
    </row>
  </sheetData>
  <autoFilter ref="A1:K14" xr:uid="{D022E1A0-C7E2-E240-878A-1BF7152AE85E}"/>
  <dataValidations count="2">
    <dataValidation type="list" allowBlank="1" showInputMessage="1" showErrorMessage="1" sqref="G1:G1048576" xr:uid="{50C65B1A-278E-FD42-B9F8-5996EAA74982}">
      <formula1>"Trend Following Strategy,Reversal Strategy,Reversal Strategy/Trend Following Strategy,No Position,Holliday"</formula1>
    </dataValidation>
    <dataValidation type="list" allowBlank="1" showInputMessage="1" showErrorMessage="1" sqref="B1:B1048576" xr:uid="{48DF23FB-E18A-0D4D-8AC9-883BA511D644}">
      <formula1>"Swing,Positional,Investor"</formula1>
    </dataValidation>
  </dataValidations>
  <hyperlinks>
    <hyperlink ref="H3" r:id="rId1" xr:uid="{FC8CA7E0-C302-E449-AFFF-278F33562EA1}"/>
    <hyperlink ref="I3" r:id="rId2" xr:uid="{2ED19733-FC11-0241-85C3-CCF7464D5C3F}"/>
    <hyperlink ref="H2" r:id="rId3" xr:uid="{618B619C-04EF-E646-8FBB-C25B7AD04E75}"/>
    <hyperlink ref="I2" r:id="rId4" xr:uid="{EDA1CFA3-29F9-AC4B-981B-B522B15D6247}"/>
    <hyperlink ref="J2" r:id="rId5" xr:uid="{00F6076E-FEC7-6948-A9DF-1A829AC8AAC9}"/>
    <hyperlink ref="K2" r:id="rId6" xr:uid="{8C599093-64FA-E946-BF6A-7A5FB5BA71B5}"/>
    <hyperlink ref="H4" r:id="rId7" xr:uid="{6165D7E1-2A2E-9947-81EF-13E08B453046}"/>
    <hyperlink ref="I4" r:id="rId8" xr:uid="{651B5D34-4B8A-394B-89C3-BEC53BA6B4F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75A64-6CB0-9845-AE46-9C3DF5BAC46F}">
  <dimension ref="A1:D21"/>
  <sheetViews>
    <sheetView showGridLines="0" tabSelected="1" workbookViewId="0">
      <selection activeCell="C12" sqref="C12"/>
    </sheetView>
  </sheetViews>
  <sheetFormatPr baseColWidth="10" defaultRowHeight="16" x14ac:dyDescent="0.2"/>
  <cols>
    <col min="1" max="1" width="13.5" bestFit="1" customWidth="1"/>
    <col min="3" max="3" width="74.1640625" bestFit="1" customWidth="1"/>
  </cols>
  <sheetData>
    <row r="1" spans="1:4" x14ac:dyDescent="0.2">
      <c r="C1" s="11" t="s">
        <v>56</v>
      </c>
      <c r="D1" s="11" t="s">
        <v>57</v>
      </c>
    </row>
    <row r="2" spans="1:4" x14ac:dyDescent="0.2">
      <c r="A2" s="7" t="s">
        <v>54</v>
      </c>
      <c r="B2" s="7" t="s">
        <v>44</v>
      </c>
      <c r="C2" s="10" t="s">
        <v>55</v>
      </c>
      <c r="D2" s="7" t="s">
        <v>58</v>
      </c>
    </row>
    <row r="3" spans="1:4" x14ac:dyDescent="0.2">
      <c r="A3" s="7"/>
      <c r="B3" s="7" t="s">
        <v>43</v>
      </c>
      <c r="C3" s="10" t="s">
        <v>53</v>
      </c>
      <c r="D3" s="7"/>
    </row>
    <row r="4" spans="1:4" x14ac:dyDescent="0.2">
      <c r="A4" s="7"/>
      <c r="B4" s="7" t="s">
        <v>45</v>
      </c>
      <c r="C4" s="10" t="s">
        <v>51</v>
      </c>
      <c r="D4" s="7" t="s">
        <v>52</v>
      </c>
    </row>
    <row r="6" spans="1:4" x14ac:dyDescent="0.2">
      <c r="A6" s="12" t="s">
        <v>46</v>
      </c>
    </row>
    <row r="7" spans="1:4" x14ac:dyDescent="0.2">
      <c r="B7" s="8" t="s">
        <v>50</v>
      </c>
      <c r="C7" s="9" t="s">
        <v>47</v>
      </c>
    </row>
    <row r="8" spans="1:4" x14ac:dyDescent="0.2">
      <c r="B8" s="8" t="s">
        <v>49</v>
      </c>
      <c r="C8" s="9" t="s">
        <v>48</v>
      </c>
    </row>
    <row r="10" spans="1:4" x14ac:dyDescent="0.2">
      <c r="A10" s="12" t="s">
        <v>3</v>
      </c>
    </row>
    <row r="11" spans="1:4" x14ac:dyDescent="0.2">
      <c r="B11" s="8" t="s">
        <v>50</v>
      </c>
      <c r="C11" s="9" t="s">
        <v>59</v>
      </c>
    </row>
    <row r="12" spans="1:4" x14ac:dyDescent="0.2">
      <c r="B12" s="8" t="s">
        <v>49</v>
      </c>
      <c r="C12" s="9" t="s">
        <v>60</v>
      </c>
    </row>
    <row r="13" spans="1:4" x14ac:dyDescent="0.2">
      <c r="B13" s="8" t="s">
        <v>61</v>
      </c>
      <c r="C13" s="9" t="s">
        <v>62</v>
      </c>
    </row>
    <row r="15" spans="1:4" x14ac:dyDescent="0.2">
      <c r="A15" s="12" t="s">
        <v>63</v>
      </c>
    </row>
    <row r="16" spans="1:4" x14ac:dyDescent="0.2">
      <c r="B16" s="8" t="s">
        <v>50</v>
      </c>
      <c r="C16" s="9" t="s">
        <v>64</v>
      </c>
    </row>
    <row r="17" spans="1:3" x14ac:dyDescent="0.2">
      <c r="B17" s="8" t="s">
        <v>49</v>
      </c>
      <c r="C17" s="9" t="s">
        <v>65</v>
      </c>
    </row>
    <row r="19" spans="1:3" x14ac:dyDescent="0.2">
      <c r="A19" s="12" t="s">
        <v>66</v>
      </c>
    </row>
    <row r="20" spans="1:3" x14ac:dyDescent="0.2">
      <c r="B20" s="8" t="s">
        <v>50</v>
      </c>
      <c r="C20" s="9" t="s">
        <v>67</v>
      </c>
    </row>
    <row r="21" spans="1:3" x14ac:dyDescent="0.2">
      <c r="B21" s="8" t="s">
        <v>49</v>
      </c>
      <c r="C21" s="9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Business Objects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Torrilla</dc:creator>
  <cp:lastModifiedBy>Matias Torrilla</cp:lastModifiedBy>
  <dcterms:created xsi:type="dcterms:W3CDTF">2026-09-14T00:19:58Z</dcterms:created>
  <dcterms:modified xsi:type="dcterms:W3CDTF">2026-09-14T17:08:28Z</dcterms:modified>
</cp:coreProperties>
</file>